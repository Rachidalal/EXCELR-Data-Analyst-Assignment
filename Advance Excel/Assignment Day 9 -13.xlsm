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320" activeTab="2"/>
  </bookViews>
  <sheets>
    <sheet name="1" sheetId="1" r:id="rId1"/>
    <sheet name="Macro" sheetId="4" r:id="rId2"/>
    <sheet name="2" sheetId="2" r:id="rId3"/>
    <sheet name="NewJoineeDetails" sheetId="3" r:id="rId4"/>
  </sheets>
  <calcPr calcId="144525"/>
</workbook>
</file>

<file path=xl/sharedStrings.xml><?xml version="1.0" encoding="utf-8"?>
<sst xmlns="http://schemas.openxmlformats.org/spreadsheetml/2006/main" count="106" uniqueCount="31">
  <si>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</si>
  <si>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</si>
  <si>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</si>
  <si>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</si>
  <si>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</si>
  <si>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</si>
  <si>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</si>
  <si>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</si>
  <si>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</si>
  <si>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</si>
  <si>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</si>
  <si>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</si>
  <si>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</si>
  <si>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</si>
  <si>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</si>
  <si>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</si>
  <si>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</si>
  <si>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</si>
  <si>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</si>
  <si>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</si>
  <si>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</si>
  <si>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Name</t>
  </si>
  <si>
    <t>Date of Birth</t>
  </si>
  <si>
    <t>Location</t>
  </si>
  <si>
    <t>Contact no</t>
  </si>
  <si>
    <t>Email Id</t>
  </si>
  <si>
    <t>Position</t>
  </si>
  <si>
    <t>abc</t>
  </si>
  <si>
    <t>xyz</t>
  </si>
  <si>
    <t>xyz@gmail.com</t>
  </si>
  <si>
    <t>Software Engineer</t>
  </si>
</sst>
</file>

<file path=xl/styles.xml><?xml version="1.0" encoding="utf-8"?>
<styleSheet xmlns="http://schemas.openxmlformats.org/spreadsheetml/2006/main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dd/mm/yyyy"/>
    <numFmt numFmtId="179" formatCode="0.00&quot;M&quot;"/>
  </numFmts>
  <fonts count="25">
    <font>
      <sz val="11"/>
      <color theme="1"/>
      <name val="Calibri"/>
      <charset val="134"/>
      <scheme val="minor"/>
    </font>
    <font>
      <sz val="16"/>
      <color theme="0"/>
      <name val="Calibri"/>
      <charset val="134"/>
      <scheme val="minor"/>
    </font>
    <font>
      <sz val="16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 tint="-0.25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6" fillId="5" borderId="3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5" fillId="7" borderId="7" applyNumberFormat="0" applyAlignment="0" applyProtection="0">
      <alignment vertical="center"/>
    </xf>
    <xf numFmtId="0" fontId="16" fillId="7" borderId="6" applyNumberFormat="0" applyAlignment="0" applyProtection="0">
      <alignment vertical="center"/>
    </xf>
    <xf numFmtId="0" fontId="17" fillId="8" borderId="8" applyNumberFormat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78" fontId="2" fillId="0" borderId="1" xfId="0" applyNumberFormat="1" applyFont="1" applyBorder="1" applyAlignment="1">
      <alignment horizontal="left" vertical="center"/>
    </xf>
    <xf numFmtId="0" fontId="3" fillId="0" borderId="1" xfId="6" applyBorder="1" applyAlignment="1">
      <alignment horizontal="left" vertical="center"/>
    </xf>
    <xf numFmtId="0" fontId="4" fillId="0" borderId="0" xfId="0" applyFont="1"/>
    <xf numFmtId="0" fontId="2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4" borderId="1" xfId="0" applyFont="1" applyFill="1" applyBorder="1"/>
    <xf numFmtId="0" fontId="0" fillId="3" borderId="2" xfId="0" applyFill="1" applyBorder="1"/>
    <xf numFmtId="179" fontId="0" fillId="3" borderId="2" xfId="0" applyNumberFormat="1" applyFill="1" applyBorder="1"/>
    <xf numFmtId="0" fontId="0" fillId="3" borderId="1" xfId="0" applyFill="1" applyBorder="1"/>
    <xf numFmtId="179" fontId="0" fillId="3" borderId="1" xfId="0" applyNumberFormat="1" applyFill="1" applyBorder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365760</xdr:colOff>
      <xdr:row>9</xdr:row>
      <xdr:rowOff>129540</xdr:rowOff>
    </xdr:from>
    <xdr:to>
      <xdr:col>14</xdr:col>
      <xdr:colOff>304800</xdr:colOff>
      <xdr:row>12</xdr:row>
      <xdr:rowOff>167640</xdr:rowOff>
    </xdr:to>
    <xdr:sp macro="[0]!Q_1">
      <xdr:nvSpPr>
        <xdr:cNvPr id="2" name="Rectangle: Rounded Corners 1"/>
        <xdr:cNvSpPr/>
      </xdr:nvSpPr>
      <xdr:spPr>
        <a:xfrm>
          <a:off x="9322435" y="1844040"/>
          <a:ext cx="1739265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/>
            <a:t>Past Format</a:t>
          </a:r>
          <a:endParaRPr lang="en-US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1156335</xdr:colOff>
      <xdr:row>5</xdr:row>
      <xdr:rowOff>41910</xdr:rowOff>
    </xdr:from>
    <xdr:to>
      <xdr:col>10</xdr:col>
      <xdr:colOff>405765</xdr:colOff>
      <xdr:row>9</xdr:row>
      <xdr:rowOff>19050</xdr:rowOff>
    </xdr:to>
    <xdr:sp>
      <xdr:nvSpPr>
        <xdr:cNvPr id="2" name="Rectangle: Rounded Corners 1"/>
        <xdr:cNvSpPr/>
      </xdr:nvSpPr>
      <xdr:spPr>
        <a:xfrm>
          <a:off x="2356485" y="994410"/>
          <a:ext cx="6827520" cy="73914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New Joinee Form</a:t>
          </a:r>
          <a:endParaRPr lang="en-US" sz="1100"/>
        </a:p>
      </xdr:txBody>
    </xdr:sp>
    <xdr:clientData/>
  </xdr:twoCellAnchor>
  <xdr:twoCellAnchor>
    <xdr:from>
      <xdr:col>3</xdr:col>
      <xdr:colOff>350520</xdr:colOff>
      <xdr:row>24</xdr:row>
      <xdr:rowOff>30480</xdr:rowOff>
    </xdr:from>
    <xdr:to>
      <xdr:col>3</xdr:col>
      <xdr:colOff>2065020</xdr:colOff>
      <xdr:row>27</xdr:row>
      <xdr:rowOff>38100</xdr:rowOff>
    </xdr:to>
    <xdr:sp macro="[0]!NewJoineeRecord">
      <xdr:nvSpPr>
        <xdr:cNvPr id="3" name="Rectangle: Rounded Corners 2"/>
        <xdr:cNvSpPr/>
      </xdr:nvSpPr>
      <xdr:spPr>
        <a:xfrm>
          <a:off x="3121025" y="5440680"/>
          <a:ext cx="1714500" cy="57912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Submit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xyz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C2:J41"/>
  <sheetViews>
    <sheetView workbookViewId="0">
      <selection activeCell="N13" sqref="N13"/>
    </sheetView>
  </sheetViews>
  <sheetFormatPr defaultColWidth="9" defaultRowHeight="15"/>
  <cols>
    <col min="4" max="4" width="24.8571428571429" customWidth="1"/>
    <col min="5" max="5" width="20.8571428571429" customWidth="1"/>
    <col min="6" max="6" width="31" customWidth="1"/>
    <col min="7" max="7" width="25.5714285714286" customWidth="1"/>
    <col min="8" max="8" width="18" customWidth="1"/>
    <col min="9" max="9" width="20.3333333333333" customWidth="1"/>
    <col min="10" max="10" width="29.1428571428571" customWidth="1"/>
  </cols>
  <sheetData>
    <row r="2" spans="3:9">
      <c r="C2" s="5" t="s">
        <v>0</v>
      </c>
      <c r="I2" s="5" t="s">
        <v>1</v>
      </c>
    </row>
    <row r="3" spans="3:3">
      <c r="C3" s="5" t="s">
        <v>2</v>
      </c>
    </row>
    <row r="4" spans="3:3">
      <c r="C4" s="5" t="s">
        <v>3</v>
      </c>
    </row>
    <row r="5" spans="3:3">
      <c r="C5" s="5" t="s">
        <v>4</v>
      </c>
    </row>
    <row r="6" spans="3:3">
      <c r="C6" s="5" t="s">
        <v>5</v>
      </c>
    </row>
    <row r="8" spans="3:10">
      <c r="C8" s="8" t="s">
        <v>6</v>
      </c>
      <c r="D8" s="8" t="s">
        <v>7</v>
      </c>
      <c r="E8" s="8" t="s">
        <v>8</v>
      </c>
      <c r="F8" s="8" t="s">
        <v>9</v>
      </c>
      <c r="G8" s="8" t="s">
        <v>10</v>
      </c>
      <c r="H8" s="8" t="s">
        <v>11</v>
      </c>
      <c r="I8" s="8" t="s">
        <v>12</v>
      </c>
      <c r="J8" s="8" t="s">
        <v>13</v>
      </c>
    </row>
    <row r="9" spans="3:10">
      <c r="C9" s="11">
        <v>20847</v>
      </c>
      <c r="D9" s="11" t="s">
        <v>14</v>
      </c>
      <c r="E9" s="11">
        <v>4</v>
      </c>
      <c r="F9" s="12">
        <v>2.84</v>
      </c>
      <c r="G9" s="12">
        <v>0.93</v>
      </c>
      <c r="H9" s="12">
        <f>$E9*$F9</f>
        <v>11.36</v>
      </c>
      <c r="I9" s="12">
        <v>0.54</v>
      </c>
      <c r="J9" s="12">
        <f>($E9*$I9)-$G9</f>
        <v>1.23</v>
      </c>
    </row>
    <row r="10" spans="3:10">
      <c r="C10" s="11">
        <v>20228</v>
      </c>
      <c r="D10" s="11" t="s">
        <v>15</v>
      </c>
      <c r="E10" s="11">
        <v>12</v>
      </c>
      <c r="F10" s="12">
        <v>500.98</v>
      </c>
      <c r="G10" s="12">
        <v>26</v>
      </c>
      <c r="H10" s="12">
        <f t="shared" ref="H10:H41" si="0">$E10*$F10</f>
        <v>6011.76</v>
      </c>
      <c r="I10" s="12">
        <v>0.6</v>
      </c>
      <c r="J10" s="12">
        <f t="shared" ref="J10:J41" si="1">($E10*$I10)-$G10</f>
        <v>-18.8</v>
      </c>
    </row>
    <row r="11" spans="3:10">
      <c r="C11" s="11">
        <v>21776</v>
      </c>
      <c r="D11" s="11" t="s">
        <v>16</v>
      </c>
      <c r="E11" s="11">
        <v>22</v>
      </c>
      <c r="F11" s="12">
        <v>9.48</v>
      </c>
      <c r="G11" s="12">
        <v>7.29</v>
      </c>
      <c r="H11" s="12">
        <f t="shared" si="0"/>
        <v>208.56</v>
      </c>
      <c r="I11" s="12">
        <v>0.45</v>
      </c>
      <c r="J11" s="12">
        <f t="shared" si="1"/>
        <v>2.61</v>
      </c>
    </row>
    <row r="12" spans="3:10">
      <c r="C12" s="11">
        <v>24844</v>
      </c>
      <c r="D12" s="11" t="s">
        <v>17</v>
      </c>
      <c r="E12" s="11">
        <v>16</v>
      </c>
      <c r="F12" s="12">
        <v>78.69</v>
      </c>
      <c r="G12" s="12">
        <v>19.99</v>
      </c>
      <c r="H12" s="12">
        <f t="shared" si="0"/>
        <v>1259.04</v>
      </c>
      <c r="I12" s="12">
        <v>0.43</v>
      </c>
      <c r="J12" s="12">
        <f t="shared" si="1"/>
        <v>-13.11</v>
      </c>
    </row>
    <row r="13" spans="3:10">
      <c r="C13" s="11">
        <v>24846</v>
      </c>
      <c r="D13" s="11" t="s">
        <v>17</v>
      </c>
      <c r="E13" s="11">
        <v>7</v>
      </c>
      <c r="F13" s="12">
        <v>3.28</v>
      </c>
      <c r="G13" s="12">
        <v>2.31</v>
      </c>
      <c r="H13" s="12">
        <f t="shared" si="0"/>
        <v>22.96</v>
      </c>
      <c r="I13" s="12">
        <v>0.56</v>
      </c>
      <c r="J13" s="12">
        <f t="shared" si="1"/>
        <v>1.61</v>
      </c>
    </row>
    <row r="14" spans="3:10">
      <c r="C14" s="11">
        <v>24847</v>
      </c>
      <c r="D14" s="11" t="s">
        <v>17</v>
      </c>
      <c r="E14" s="11">
        <v>4</v>
      </c>
      <c r="F14" s="12">
        <v>3.28</v>
      </c>
      <c r="G14" s="12">
        <v>4.2</v>
      </c>
      <c r="H14" s="12">
        <f t="shared" si="0"/>
        <v>13.12</v>
      </c>
      <c r="I14" s="12">
        <v>0.56</v>
      </c>
      <c r="J14" s="12">
        <f t="shared" si="1"/>
        <v>-1.96</v>
      </c>
    </row>
    <row r="15" spans="3:10">
      <c r="C15" s="11">
        <v>24848</v>
      </c>
      <c r="D15" s="11" t="s">
        <v>17</v>
      </c>
      <c r="E15" s="11">
        <v>4</v>
      </c>
      <c r="F15" s="12">
        <v>3.58</v>
      </c>
      <c r="G15" s="12">
        <v>1.63</v>
      </c>
      <c r="H15" s="12">
        <f t="shared" si="0"/>
        <v>14.32</v>
      </c>
      <c r="I15" s="12">
        <v>0.36</v>
      </c>
      <c r="J15" s="12">
        <f t="shared" si="1"/>
        <v>-0.19</v>
      </c>
    </row>
    <row r="16" spans="3:10">
      <c r="C16" s="11">
        <v>18181</v>
      </c>
      <c r="D16" s="11" t="s">
        <v>16</v>
      </c>
      <c r="E16" s="11">
        <v>7</v>
      </c>
      <c r="F16" s="12">
        <v>4.42</v>
      </c>
      <c r="G16" s="12">
        <v>4.99</v>
      </c>
      <c r="H16" s="12">
        <f t="shared" si="0"/>
        <v>30.94</v>
      </c>
      <c r="I16" s="12">
        <v>0.38</v>
      </c>
      <c r="J16" s="12">
        <f t="shared" si="1"/>
        <v>-2.33</v>
      </c>
    </row>
    <row r="17" spans="3:10">
      <c r="C17" s="11">
        <v>20925</v>
      </c>
      <c r="D17" s="11" t="s">
        <v>17</v>
      </c>
      <c r="E17" s="11">
        <v>10</v>
      </c>
      <c r="F17" s="12">
        <v>35.94</v>
      </c>
      <c r="G17" s="12">
        <v>6.66</v>
      </c>
      <c r="H17" s="12">
        <f t="shared" si="0"/>
        <v>359.4</v>
      </c>
      <c r="I17" s="12">
        <v>0.4</v>
      </c>
      <c r="J17" s="12">
        <f t="shared" si="1"/>
        <v>-2.66</v>
      </c>
    </row>
    <row r="18" spans="3:10">
      <c r="C18" s="11">
        <v>26267</v>
      </c>
      <c r="D18" s="11" t="s">
        <v>14</v>
      </c>
      <c r="E18" s="11">
        <v>6</v>
      </c>
      <c r="F18" s="12">
        <v>2.98</v>
      </c>
      <c r="G18" s="12">
        <v>1.58</v>
      </c>
      <c r="H18" s="12">
        <f t="shared" si="0"/>
        <v>17.88</v>
      </c>
      <c r="I18" s="12">
        <v>0.39</v>
      </c>
      <c r="J18" s="12">
        <f t="shared" si="1"/>
        <v>0.76</v>
      </c>
    </row>
    <row r="19" spans="3:10">
      <c r="C19" s="11">
        <v>26268</v>
      </c>
      <c r="D19" s="11" t="s">
        <v>14</v>
      </c>
      <c r="E19" s="11">
        <v>10</v>
      </c>
      <c r="F19" s="12">
        <v>115.99</v>
      </c>
      <c r="G19" s="12">
        <v>2.5</v>
      </c>
      <c r="H19" s="12">
        <f t="shared" si="0"/>
        <v>1159.9</v>
      </c>
      <c r="I19" s="12">
        <v>0.55</v>
      </c>
      <c r="J19" s="12">
        <f t="shared" si="1"/>
        <v>3</v>
      </c>
    </row>
    <row r="20" spans="3:10">
      <c r="C20" s="11">
        <v>23890</v>
      </c>
      <c r="D20" s="11" t="s">
        <v>14</v>
      </c>
      <c r="E20" s="11">
        <v>17</v>
      </c>
      <c r="F20" s="12">
        <v>26.48</v>
      </c>
      <c r="G20" s="12">
        <v>6.93</v>
      </c>
      <c r="H20" s="12">
        <f t="shared" si="0"/>
        <v>450.16</v>
      </c>
      <c r="I20" s="12">
        <v>0.49</v>
      </c>
      <c r="J20" s="12">
        <f t="shared" si="1"/>
        <v>1.4</v>
      </c>
    </row>
    <row r="21" spans="3:10">
      <c r="C21" s="11">
        <v>24063</v>
      </c>
      <c r="D21" s="11" t="s">
        <v>15</v>
      </c>
      <c r="E21" s="11">
        <v>18</v>
      </c>
      <c r="F21" s="12">
        <v>12.99</v>
      </c>
      <c r="G21" s="12">
        <v>9.44</v>
      </c>
      <c r="H21" s="12">
        <f t="shared" si="0"/>
        <v>233.82</v>
      </c>
      <c r="I21" s="12">
        <v>0.39</v>
      </c>
      <c r="J21" s="12">
        <f t="shared" si="1"/>
        <v>-2.42</v>
      </c>
    </row>
    <row r="22" spans="3:10">
      <c r="C22" s="11">
        <v>5890</v>
      </c>
      <c r="D22" s="11" t="s">
        <v>14</v>
      </c>
      <c r="E22" s="11">
        <v>70</v>
      </c>
      <c r="F22" s="12">
        <v>26.48</v>
      </c>
      <c r="G22" s="12">
        <v>6.93</v>
      </c>
      <c r="H22" s="12">
        <f t="shared" si="0"/>
        <v>1853.6</v>
      </c>
      <c r="I22" s="12">
        <v>0.49</v>
      </c>
      <c r="J22" s="12">
        <f t="shared" si="1"/>
        <v>27.37</v>
      </c>
    </row>
    <row r="23" spans="3:10">
      <c r="C23" s="11">
        <v>6062</v>
      </c>
      <c r="D23" s="11" t="s">
        <v>15</v>
      </c>
      <c r="E23" s="11">
        <v>58</v>
      </c>
      <c r="F23" s="12">
        <v>5</v>
      </c>
      <c r="G23" s="12">
        <v>3.39</v>
      </c>
      <c r="H23" s="12">
        <f t="shared" si="0"/>
        <v>290</v>
      </c>
      <c r="I23" s="12">
        <v>0.37</v>
      </c>
      <c r="J23" s="12">
        <f t="shared" si="1"/>
        <v>18.07</v>
      </c>
    </row>
    <row r="24" spans="3:10">
      <c r="C24" s="11">
        <v>6063</v>
      </c>
      <c r="D24" s="11" t="s">
        <v>15</v>
      </c>
      <c r="E24" s="11">
        <v>71</v>
      </c>
      <c r="F24" s="12">
        <v>12.99</v>
      </c>
      <c r="G24" s="12">
        <v>9.44</v>
      </c>
      <c r="H24" s="12">
        <f t="shared" si="0"/>
        <v>922.29</v>
      </c>
      <c r="I24" s="12">
        <v>0.39</v>
      </c>
      <c r="J24" s="12">
        <f t="shared" si="1"/>
        <v>18.25</v>
      </c>
    </row>
    <row r="25" spans="3:10">
      <c r="C25" s="11">
        <v>20631</v>
      </c>
      <c r="D25" s="11" t="s">
        <v>14</v>
      </c>
      <c r="E25" s="11">
        <v>1</v>
      </c>
      <c r="F25" s="12">
        <v>55.48</v>
      </c>
      <c r="G25" s="12">
        <v>14.3</v>
      </c>
      <c r="H25" s="12">
        <f t="shared" si="0"/>
        <v>55.48</v>
      </c>
      <c r="I25" s="12">
        <v>0.37</v>
      </c>
      <c r="J25" s="12">
        <f t="shared" si="1"/>
        <v>-13.93</v>
      </c>
    </row>
    <row r="26" spans="3:10">
      <c r="C26" s="11">
        <v>20632</v>
      </c>
      <c r="D26" s="11" t="s">
        <v>14</v>
      </c>
      <c r="E26" s="11">
        <v>1</v>
      </c>
      <c r="F26" s="12">
        <v>1.68</v>
      </c>
      <c r="G26" s="12">
        <v>1.57</v>
      </c>
      <c r="H26" s="12">
        <f t="shared" si="0"/>
        <v>1.68</v>
      </c>
      <c r="I26" s="12">
        <v>0.59</v>
      </c>
      <c r="J26" s="12">
        <f t="shared" si="1"/>
        <v>-0.98</v>
      </c>
    </row>
    <row r="27" spans="3:10">
      <c r="C27" s="11">
        <v>23967</v>
      </c>
      <c r="D27" s="11" t="s">
        <v>15</v>
      </c>
      <c r="E27" s="11">
        <v>12</v>
      </c>
      <c r="F27" s="12">
        <v>4.14</v>
      </c>
      <c r="G27" s="12">
        <v>6.6</v>
      </c>
      <c r="H27" s="12">
        <f t="shared" si="0"/>
        <v>49.68</v>
      </c>
      <c r="I27" s="12">
        <v>0.49</v>
      </c>
      <c r="J27" s="12">
        <f t="shared" si="1"/>
        <v>-0.72</v>
      </c>
    </row>
    <row r="28" spans="3:10">
      <c r="C28" s="11">
        <v>23509</v>
      </c>
      <c r="D28" s="11" t="s">
        <v>14</v>
      </c>
      <c r="E28" s="11">
        <v>13</v>
      </c>
      <c r="F28" s="12">
        <v>34.99</v>
      </c>
      <c r="G28" s="12">
        <v>7.73</v>
      </c>
      <c r="H28" s="12">
        <f t="shared" si="0"/>
        <v>454.87</v>
      </c>
      <c r="I28" s="12">
        <v>0.59</v>
      </c>
      <c r="J28" s="12">
        <f t="shared" si="1"/>
        <v>-0.0600000000000005</v>
      </c>
    </row>
    <row r="29" spans="3:10">
      <c r="C29" s="11">
        <v>23612</v>
      </c>
      <c r="D29" s="11" t="s">
        <v>14</v>
      </c>
      <c r="E29" s="11">
        <v>2</v>
      </c>
      <c r="F29" s="12">
        <v>17.98</v>
      </c>
      <c r="G29" s="12">
        <v>8.51</v>
      </c>
      <c r="H29" s="12">
        <f t="shared" si="0"/>
        <v>35.96</v>
      </c>
      <c r="I29" s="12">
        <v>0.4</v>
      </c>
      <c r="J29" s="12">
        <f t="shared" si="1"/>
        <v>-7.71</v>
      </c>
    </row>
    <row r="30" spans="3:10">
      <c r="C30" s="11">
        <v>23278</v>
      </c>
      <c r="D30" s="11" t="s">
        <v>17</v>
      </c>
      <c r="E30" s="11">
        <v>8</v>
      </c>
      <c r="F30" s="12">
        <v>125.99</v>
      </c>
      <c r="G30" s="12">
        <v>7.69</v>
      </c>
      <c r="H30" s="12">
        <f t="shared" si="0"/>
        <v>1007.92</v>
      </c>
      <c r="I30" s="12">
        <v>0.59</v>
      </c>
      <c r="J30" s="12">
        <f t="shared" si="1"/>
        <v>-2.97</v>
      </c>
    </row>
    <row r="31" spans="3:10">
      <c r="C31" s="11">
        <v>19355</v>
      </c>
      <c r="D31" s="11" t="s">
        <v>18</v>
      </c>
      <c r="E31" s="11">
        <v>22</v>
      </c>
      <c r="F31" s="12">
        <v>205.99</v>
      </c>
      <c r="G31" s="12">
        <v>8.99</v>
      </c>
      <c r="H31" s="12">
        <f t="shared" si="0"/>
        <v>4531.78</v>
      </c>
      <c r="I31" s="12">
        <v>0.56</v>
      </c>
      <c r="J31" s="12">
        <f t="shared" si="1"/>
        <v>3.33</v>
      </c>
    </row>
    <row r="32" spans="3:10">
      <c r="C32" s="11">
        <v>23654</v>
      </c>
      <c r="D32" s="11" t="s">
        <v>15</v>
      </c>
      <c r="E32" s="11">
        <v>13</v>
      </c>
      <c r="F32" s="12">
        <v>4.24</v>
      </c>
      <c r="G32" s="12">
        <v>5.41</v>
      </c>
      <c r="H32" s="12">
        <f t="shared" si="0"/>
        <v>55.12</v>
      </c>
      <c r="I32" s="12">
        <v>0.35</v>
      </c>
      <c r="J32" s="12">
        <f t="shared" si="1"/>
        <v>-0.86</v>
      </c>
    </row>
    <row r="33" spans="3:10">
      <c r="C33" s="11">
        <v>23655</v>
      </c>
      <c r="D33" s="11" t="s">
        <v>15</v>
      </c>
      <c r="E33" s="11">
        <v>18</v>
      </c>
      <c r="F33" s="12">
        <v>2.94</v>
      </c>
      <c r="G33" s="12">
        <v>0.7</v>
      </c>
      <c r="H33" s="12">
        <f t="shared" si="0"/>
        <v>52.92</v>
      </c>
      <c r="I33" s="12">
        <v>0.58</v>
      </c>
      <c r="J33" s="12">
        <f t="shared" si="1"/>
        <v>9.74</v>
      </c>
    </row>
    <row r="34" spans="3:10">
      <c r="C34" s="11">
        <v>25933</v>
      </c>
      <c r="D34" s="11" t="s">
        <v>14</v>
      </c>
      <c r="E34" s="11">
        <v>6</v>
      </c>
      <c r="F34" s="12">
        <v>99.99</v>
      </c>
      <c r="G34" s="12">
        <v>19.99</v>
      </c>
      <c r="H34" s="12">
        <f t="shared" si="0"/>
        <v>599.94</v>
      </c>
      <c r="I34" s="12">
        <v>0.52</v>
      </c>
      <c r="J34" s="12">
        <f t="shared" si="1"/>
        <v>-16.87</v>
      </c>
    </row>
    <row r="35" spans="3:10">
      <c r="C35" s="11">
        <v>20697</v>
      </c>
      <c r="D35" s="11" t="s">
        <v>17</v>
      </c>
      <c r="E35" s="11">
        <v>6</v>
      </c>
      <c r="F35" s="12">
        <v>115.99</v>
      </c>
      <c r="G35" s="12">
        <v>2.5</v>
      </c>
      <c r="H35" s="12">
        <f t="shared" si="0"/>
        <v>695.94</v>
      </c>
      <c r="I35" s="12">
        <v>0.57</v>
      </c>
      <c r="J35" s="12">
        <f t="shared" si="1"/>
        <v>0.92</v>
      </c>
    </row>
    <row r="36" spans="3:10">
      <c r="C36" s="11">
        <v>20698</v>
      </c>
      <c r="D36" s="11" t="s">
        <v>17</v>
      </c>
      <c r="E36" s="11">
        <v>1</v>
      </c>
      <c r="F36" s="12">
        <v>3502.14</v>
      </c>
      <c r="G36" s="12">
        <v>8.73</v>
      </c>
      <c r="H36" s="12">
        <f t="shared" si="0"/>
        <v>3502.14</v>
      </c>
      <c r="I36" s="12">
        <v>0.57</v>
      </c>
      <c r="J36" s="12">
        <f t="shared" si="1"/>
        <v>-8.16</v>
      </c>
    </row>
    <row r="37" spans="3:10">
      <c r="C37" s="11">
        <v>22890</v>
      </c>
      <c r="D37" s="11" t="s">
        <v>14</v>
      </c>
      <c r="E37" s="11">
        <v>17</v>
      </c>
      <c r="F37" s="12">
        <v>175.99</v>
      </c>
      <c r="G37" s="12">
        <v>5.79</v>
      </c>
      <c r="H37" s="12">
        <f t="shared" si="0"/>
        <v>2991.83</v>
      </c>
      <c r="I37" s="12">
        <v>0.36</v>
      </c>
      <c r="J37" s="12">
        <f t="shared" si="1"/>
        <v>0.33</v>
      </c>
    </row>
    <row r="38" spans="3:10">
      <c r="C38" s="11">
        <v>25354</v>
      </c>
      <c r="D38" s="11" t="s">
        <v>14</v>
      </c>
      <c r="E38" s="11">
        <v>20</v>
      </c>
      <c r="F38" s="12">
        <v>155.06</v>
      </c>
      <c r="G38" s="12">
        <v>1.49</v>
      </c>
      <c r="H38" s="12">
        <f t="shared" si="0"/>
        <v>3101.2</v>
      </c>
      <c r="I38" s="12">
        <v>0.38</v>
      </c>
      <c r="J38" s="12">
        <f t="shared" si="1"/>
        <v>6.11</v>
      </c>
    </row>
    <row r="39" spans="3:10">
      <c r="C39" s="11">
        <v>21017</v>
      </c>
      <c r="D39" s="11" t="s">
        <v>15</v>
      </c>
      <c r="E39" s="11">
        <v>17</v>
      </c>
      <c r="F39" s="12">
        <v>5.98</v>
      </c>
      <c r="G39" s="12">
        <v>0.7</v>
      </c>
      <c r="H39" s="12">
        <f t="shared" si="0"/>
        <v>101.66</v>
      </c>
      <c r="I39" s="12">
        <v>0.56</v>
      </c>
      <c r="J39" s="12">
        <f t="shared" si="1"/>
        <v>8.82</v>
      </c>
    </row>
    <row r="40" spans="3:10">
      <c r="C40" s="11">
        <v>21019</v>
      </c>
      <c r="D40" s="11" t="s">
        <v>15</v>
      </c>
      <c r="E40" s="11">
        <v>3</v>
      </c>
      <c r="F40" s="12">
        <v>29.14</v>
      </c>
      <c r="G40" s="12">
        <v>5.15</v>
      </c>
      <c r="H40" s="12">
        <f t="shared" si="0"/>
        <v>87.42</v>
      </c>
      <c r="I40" s="12">
        <v>0.36</v>
      </c>
      <c r="J40" s="12">
        <f t="shared" si="1"/>
        <v>-4.07</v>
      </c>
    </row>
    <row r="41" spans="3:10">
      <c r="C41" s="11">
        <v>23274</v>
      </c>
      <c r="D41" s="11" t="s">
        <v>18</v>
      </c>
      <c r="E41" s="11">
        <v>17</v>
      </c>
      <c r="F41" s="12">
        <v>3.69</v>
      </c>
      <c r="G41" s="12">
        <v>4.86</v>
      </c>
      <c r="H41" s="12">
        <f t="shared" si="0"/>
        <v>62.73</v>
      </c>
      <c r="I41" s="12">
        <v>0.38</v>
      </c>
      <c r="J41" s="12">
        <f t="shared" si="1"/>
        <v>1.6</v>
      </c>
    </row>
  </sheetData>
  <pageMargins left="0.7" right="0.7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C8:J41"/>
  <sheetViews>
    <sheetView topLeftCell="A34" workbookViewId="0">
      <selection activeCell="K20" sqref="K20"/>
    </sheetView>
  </sheetViews>
  <sheetFormatPr defaultColWidth="9" defaultRowHeight="15"/>
  <cols>
    <col min="4" max="4" width="12" customWidth="1"/>
    <col min="5" max="5" width="18" customWidth="1"/>
    <col min="6" max="6" width="9.21904761904762" customWidth="1"/>
    <col min="7" max="7" width="11.7809523809524" customWidth="1"/>
    <col min="8" max="8" width="18" customWidth="1"/>
    <col min="9" max="9" width="20.3333333333333" customWidth="1"/>
  </cols>
  <sheetData>
    <row r="8" spans="3:10">
      <c r="C8" s="8" t="s">
        <v>6</v>
      </c>
      <c r="D8" s="8" t="s">
        <v>7</v>
      </c>
      <c r="E8" s="8" t="s">
        <v>8</v>
      </c>
      <c r="F8" s="8" t="s">
        <v>9</v>
      </c>
      <c r="G8" s="8" t="s">
        <v>10</v>
      </c>
      <c r="H8" s="8" t="s">
        <v>11</v>
      </c>
      <c r="I8" s="8" t="s">
        <v>12</v>
      </c>
      <c r="J8" s="8" t="s">
        <v>13</v>
      </c>
    </row>
    <row r="9" spans="3:10">
      <c r="C9" s="9">
        <v>20847</v>
      </c>
      <c r="D9" s="9" t="s">
        <v>14</v>
      </c>
      <c r="E9" s="9">
        <v>4</v>
      </c>
      <c r="F9" s="10">
        <v>2.84</v>
      </c>
      <c r="G9" s="10">
        <v>0.93</v>
      </c>
      <c r="H9" s="10">
        <f>$E9*$F9</f>
        <v>11.36</v>
      </c>
      <c r="I9" s="10">
        <v>0.54</v>
      </c>
      <c r="J9" s="10">
        <f>($E9*$I9)-$G9</f>
        <v>1.23</v>
      </c>
    </row>
    <row r="10" spans="3:10">
      <c r="C10" s="11">
        <v>20228</v>
      </c>
      <c r="D10" s="11" t="s">
        <v>15</v>
      </c>
      <c r="E10" s="11">
        <v>12</v>
      </c>
      <c r="F10" s="12">
        <v>500.98</v>
      </c>
      <c r="G10" s="12">
        <v>26</v>
      </c>
      <c r="H10" s="12">
        <f t="shared" ref="H10:H41" si="0">$E10*$F10</f>
        <v>6011.76</v>
      </c>
      <c r="I10" s="12">
        <v>0.6</v>
      </c>
      <c r="J10" s="12">
        <f t="shared" ref="J10:J41" si="1">($E10*$I10)-$G10</f>
        <v>-18.8</v>
      </c>
    </row>
    <row r="11" spans="3:10">
      <c r="C11" s="11">
        <v>21776</v>
      </c>
      <c r="D11" s="11" t="s">
        <v>16</v>
      </c>
      <c r="E11" s="11">
        <v>22</v>
      </c>
      <c r="F11" s="12">
        <v>9.48</v>
      </c>
      <c r="G11" s="12">
        <v>7.29</v>
      </c>
      <c r="H11" s="12">
        <f t="shared" si="0"/>
        <v>208.56</v>
      </c>
      <c r="I11" s="12">
        <v>0.45</v>
      </c>
      <c r="J11" s="12">
        <f t="shared" si="1"/>
        <v>2.61</v>
      </c>
    </row>
    <row r="12" spans="3:10">
      <c r="C12" s="11">
        <v>24844</v>
      </c>
      <c r="D12" s="11" t="s">
        <v>17</v>
      </c>
      <c r="E12" s="11">
        <v>16</v>
      </c>
      <c r="F12" s="12">
        <v>78.69</v>
      </c>
      <c r="G12" s="12">
        <v>19.99</v>
      </c>
      <c r="H12" s="12">
        <f t="shared" si="0"/>
        <v>1259.04</v>
      </c>
      <c r="I12" s="12">
        <v>0.43</v>
      </c>
      <c r="J12" s="12">
        <f t="shared" si="1"/>
        <v>-13.11</v>
      </c>
    </row>
    <row r="13" spans="3:10">
      <c r="C13" s="11">
        <v>24846</v>
      </c>
      <c r="D13" s="11" t="s">
        <v>17</v>
      </c>
      <c r="E13" s="11">
        <v>7</v>
      </c>
      <c r="F13" s="12">
        <v>3.28</v>
      </c>
      <c r="G13" s="12">
        <v>2.31</v>
      </c>
      <c r="H13" s="12">
        <f t="shared" si="0"/>
        <v>22.96</v>
      </c>
      <c r="I13" s="12">
        <v>0.56</v>
      </c>
      <c r="J13" s="12">
        <f t="shared" si="1"/>
        <v>1.61</v>
      </c>
    </row>
    <row r="14" spans="3:10">
      <c r="C14" s="11">
        <v>24847</v>
      </c>
      <c r="D14" s="11" t="s">
        <v>17</v>
      </c>
      <c r="E14" s="11">
        <v>4</v>
      </c>
      <c r="F14" s="12">
        <v>3.28</v>
      </c>
      <c r="G14" s="12">
        <v>4.2</v>
      </c>
      <c r="H14" s="12">
        <f t="shared" si="0"/>
        <v>13.12</v>
      </c>
      <c r="I14" s="12">
        <v>0.56</v>
      </c>
      <c r="J14" s="12">
        <f t="shared" si="1"/>
        <v>-1.96</v>
      </c>
    </row>
    <row r="15" spans="3:10">
      <c r="C15" s="11">
        <v>24848</v>
      </c>
      <c r="D15" s="11" t="s">
        <v>17</v>
      </c>
      <c r="E15" s="11">
        <v>4</v>
      </c>
      <c r="F15" s="12">
        <v>3.58</v>
      </c>
      <c r="G15" s="12">
        <v>1.63</v>
      </c>
      <c r="H15" s="12">
        <f t="shared" si="0"/>
        <v>14.32</v>
      </c>
      <c r="I15" s="12">
        <v>0.36</v>
      </c>
      <c r="J15" s="12">
        <f t="shared" si="1"/>
        <v>-0.19</v>
      </c>
    </row>
    <row r="16" spans="3:10">
      <c r="C16" s="11">
        <v>18181</v>
      </c>
      <c r="D16" s="11" t="s">
        <v>16</v>
      </c>
      <c r="E16" s="11">
        <v>7</v>
      </c>
      <c r="F16" s="12">
        <v>4.42</v>
      </c>
      <c r="G16" s="12">
        <v>4.99</v>
      </c>
      <c r="H16" s="12">
        <f t="shared" si="0"/>
        <v>30.94</v>
      </c>
      <c r="I16" s="12">
        <v>0.38</v>
      </c>
      <c r="J16" s="12">
        <f t="shared" si="1"/>
        <v>-2.33</v>
      </c>
    </row>
    <row r="17" spans="3:10">
      <c r="C17" s="11">
        <v>20925</v>
      </c>
      <c r="D17" s="11" t="s">
        <v>17</v>
      </c>
      <c r="E17" s="11">
        <v>10</v>
      </c>
      <c r="F17" s="12">
        <v>35.94</v>
      </c>
      <c r="G17" s="12">
        <v>6.66</v>
      </c>
      <c r="H17" s="12">
        <f t="shared" si="0"/>
        <v>359.4</v>
      </c>
      <c r="I17" s="12">
        <v>0.4</v>
      </c>
      <c r="J17" s="12">
        <f t="shared" si="1"/>
        <v>-2.66</v>
      </c>
    </row>
    <row r="18" spans="3:10">
      <c r="C18" s="11">
        <v>26267</v>
      </c>
      <c r="D18" s="11" t="s">
        <v>14</v>
      </c>
      <c r="E18" s="11">
        <v>6</v>
      </c>
      <c r="F18" s="12">
        <v>2.98</v>
      </c>
      <c r="G18" s="12">
        <v>1.58</v>
      </c>
      <c r="H18" s="12">
        <f t="shared" si="0"/>
        <v>17.88</v>
      </c>
      <c r="I18" s="12">
        <v>0.39</v>
      </c>
      <c r="J18" s="12">
        <f t="shared" si="1"/>
        <v>0.76</v>
      </c>
    </row>
    <row r="19" spans="3:10">
      <c r="C19" s="11">
        <v>26268</v>
      </c>
      <c r="D19" s="11" t="s">
        <v>14</v>
      </c>
      <c r="E19" s="11">
        <v>10</v>
      </c>
      <c r="F19" s="12">
        <v>115.99</v>
      </c>
      <c r="G19" s="12">
        <v>2.5</v>
      </c>
      <c r="H19" s="12">
        <f t="shared" si="0"/>
        <v>1159.9</v>
      </c>
      <c r="I19" s="12">
        <v>0.55</v>
      </c>
      <c r="J19" s="12">
        <f t="shared" si="1"/>
        <v>3</v>
      </c>
    </row>
    <row r="20" spans="3:10">
      <c r="C20" s="11">
        <v>23890</v>
      </c>
      <c r="D20" s="11" t="s">
        <v>14</v>
      </c>
      <c r="E20" s="11">
        <v>17</v>
      </c>
      <c r="F20" s="12">
        <v>26.48</v>
      </c>
      <c r="G20" s="12">
        <v>6.93</v>
      </c>
      <c r="H20" s="12">
        <f t="shared" si="0"/>
        <v>450.16</v>
      </c>
      <c r="I20" s="12">
        <v>0.49</v>
      </c>
      <c r="J20" s="12">
        <f t="shared" si="1"/>
        <v>1.4</v>
      </c>
    </row>
    <row r="21" spans="3:10">
      <c r="C21" s="11">
        <v>24063</v>
      </c>
      <c r="D21" s="11" t="s">
        <v>15</v>
      </c>
      <c r="E21" s="11">
        <v>18</v>
      </c>
      <c r="F21" s="12">
        <v>12.99</v>
      </c>
      <c r="G21" s="12">
        <v>9.44</v>
      </c>
      <c r="H21" s="12">
        <f t="shared" si="0"/>
        <v>233.82</v>
      </c>
      <c r="I21" s="12">
        <v>0.39</v>
      </c>
      <c r="J21" s="12">
        <f t="shared" si="1"/>
        <v>-2.42</v>
      </c>
    </row>
    <row r="22" spans="3:10">
      <c r="C22" s="11">
        <v>5890</v>
      </c>
      <c r="D22" s="11" t="s">
        <v>14</v>
      </c>
      <c r="E22" s="11">
        <v>70</v>
      </c>
      <c r="F22" s="12">
        <v>26.48</v>
      </c>
      <c r="G22" s="12">
        <v>6.93</v>
      </c>
      <c r="H22" s="12">
        <f t="shared" si="0"/>
        <v>1853.6</v>
      </c>
      <c r="I22" s="12">
        <v>0.49</v>
      </c>
      <c r="J22" s="12">
        <f t="shared" si="1"/>
        <v>27.37</v>
      </c>
    </row>
    <row r="23" spans="3:10">
      <c r="C23" s="11">
        <v>6062</v>
      </c>
      <c r="D23" s="11" t="s">
        <v>15</v>
      </c>
      <c r="E23" s="11">
        <v>58</v>
      </c>
      <c r="F23" s="12">
        <v>5</v>
      </c>
      <c r="G23" s="12">
        <v>3.39</v>
      </c>
      <c r="H23" s="12">
        <f t="shared" si="0"/>
        <v>290</v>
      </c>
      <c r="I23" s="12">
        <v>0.37</v>
      </c>
      <c r="J23" s="12">
        <f t="shared" si="1"/>
        <v>18.07</v>
      </c>
    </row>
    <row r="24" spans="3:10">
      <c r="C24" s="11">
        <v>6063</v>
      </c>
      <c r="D24" s="11" t="s">
        <v>15</v>
      </c>
      <c r="E24" s="11">
        <v>71</v>
      </c>
      <c r="F24" s="12">
        <v>12.99</v>
      </c>
      <c r="G24" s="12">
        <v>9.44</v>
      </c>
      <c r="H24" s="12">
        <f t="shared" si="0"/>
        <v>922.29</v>
      </c>
      <c r="I24" s="12">
        <v>0.39</v>
      </c>
      <c r="J24" s="12">
        <f t="shared" si="1"/>
        <v>18.25</v>
      </c>
    </row>
    <row r="25" spans="3:10">
      <c r="C25" s="11">
        <v>20631</v>
      </c>
      <c r="D25" s="11" t="s">
        <v>14</v>
      </c>
      <c r="E25" s="11">
        <v>1</v>
      </c>
      <c r="F25" s="12">
        <v>55.48</v>
      </c>
      <c r="G25" s="12">
        <v>14.3</v>
      </c>
      <c r="H25" s="12">
        <f t="shared" si="0"/>
        <v>55.48</v>
      </c>
      <c r="I25" s="12">
        <v>0.37</v>
      </c>
      <c r="J25" s="12">
        <f t="shared" si="1"/>
        <v>-13.93</v>
      </c>
    </row>
    <row r="26" spans="3:10">
      <c r="C26" s="11">
        <v>20632</v>
      </c>
      <c r="D26" s="11" t="s">
        <v>14</v>
      </c>
      <c r="E26" s="11">
        <v>1</v>
      </c>
      <c r="F26" s="12">
        <v>1.68</v>
      </c>
      <c r="G26" s="12">
        <v>1.57</v>
      </c>
      <c r="H26" s="12">
        <f t="shared" si="0"/>
        <v>1.68</v>
      </c>
      <c r="I26" s="12">
        <v>0.59</v>
      </c>
      <c r="J26" s="12">
        <f t="shared" si="1"/>
        <v>-0.98</v>
      </c>
    </row>
    <row r="27" spans="3:10">
      <c r="C27" s="11">
        <v>23967</v>
      </c>
      <c r="D27" s="11" t="s">
        <v>15</v>
      </c>
      <c r="E27" s="11">
        <v>12</v>
      </c>
      <c r="F27" s="12">
        <v>4.14</v>
      </c>
      <c r="G27" s="12">
        <v>6.6</v>
      </c>
      <c r="H27" s="12">
        <f t="shared" si="0"/>
        <v>49.68</v>
      </c>
      <c r="I27" s="12">
        <v>0.49</v>
      </c>
      <c r="J27" s="12">
        <f t="shared" si="1"/>
        <v>-0.72</v>
      </c>
    </row>
    <row r="28" spans="3:10">
      <c r="C28" s="11">
        <v>23509</v>
      </c>
      <c r="D28" s="11" t="s">
        <v>14</v>
      </c>
      <c r="E28" s="11">
        <v>13</v>
      </c>
      <c r="F28" s="12">
        <v>34.99</v>
      </c>
      <c r="G28" s="12">
        <v>7.73</v>
      </c>
      <c r="H28" s="12">
        <f t="shared" si="0"/>
        <v>454.87</v>
      </c>
      <c r="I28" s="12">
        <v>0.59</v>
      </c>
      <c r="J28" s="12">
        <f t="shared" si="1"/>
        <v>-0.0600000000000005</v>
      </c>
    </row>
    <row r="29" spans="3:10">
      <c r="C29" s="11">
        <v>23612</v>
      </c>
      <c r="D29" s="11" t="s">
        <v>14</v>
      </c>
      <c r="E29" s="11">
        <v>2</v>
      </c>
      <c r="F29" s="12">
        <v>17.98</v>
      </c>
      <c r="G29" s="12">
        <v>8.51</v>
      </c>
      <c r="H29" s="12">
        <f t="shared" si="0"/>
        <v>35.96</v>
      </c>
      <c r="I29" s="12">
        <v>0.4</v>
      </c>
      <c r="J29" s="12">
        <f t="shared" si="1"/>
        <v>-7.71</v>
      </c>
    </row>
    <row r="30" spans="3:10">
      <c r="C30" s="11">
        <v>23278</v>
      </c>
      <c r="D30" s="11" t="s">
        <v>17</v>
      </c>
      <c r="E30" s="11">
        <v>8</v>
      </c>
      <c r="F30" s="12">
        <v>125.99</v>
      </c>
      <c r="G30" s="12">
        <v>7.69</v>
      </c>
      <c r="H30" s="12">
        <f t="shared" si="0"/>
        <v>1007.92</v>
      </c>
      <c r="I30" s="12">
        <v>0.59</v>
      </c>
      <c r="J30" s="12">
        <f t="shared" si="1"/>
        <v>-2.97</v>
      </c>
    </row>
    <row r="31" spans="3:10">
      <c r="C31" s="11">
        <v>19355</v>
      </c>
      <c r="D31" s="11" t="s">
        <v>18</v>
      </c>
      <c r="E31" s="11">
        <v>22</v>
      </c>
      <c r="F31" s="12">
        <v>205.99</v>
      </c>
      <c r="G31" s="12">
        <v>8.99</v>
      </c>
      <c r="H31" s="12">
        <f t="shared" si="0"/>
        <v>4531.78</v>
      </c>
      <c r="I31" s="12">
        <v>0.56</v>
      </c>
      <c r="J31" s="12">
        <f t="shared" si="1"/>
        <v>3.33</v>
      </c>
    </row>
    <row r="32" spans="3:10">
      <c r="C32" s="11">
        <v>23654</v>
      </c>
      <c r="D32" s="11" t="s">
        <v>15</v>
      </c>
      <c r="E32" s="11">
        <v>13</v>
      </c>
      <c r="F32" s="12">
        <v>4.24</v>
      </c>
      <c r="G32" s="12">
        <v>5.41</v>
      </c>
      <c r="H32" s="12">
        <f t="shared" si="0"/>
        <v>55.12</v>
      </c>
      <c r="I32" s="12">
        <v>0.35</v>
      </c>
      <c r="J32" s="12">
        <f t="shared" si="1"/>
        <v>-0.86</v>
      </c>
    </row>
    <row r="33" spans="3:10">
      <c r="C33" s="11">
        <v>23655</v>
      </c>
      <c r="D33" s="11" t="s">
        <v>15</v>
      </c>
      <c r="E33" s="11">
        <v>18</v>
      </c>
      <c r="F33" s="12">
        <v>2.94</v>
      </c>
      <c r="G33" s="12">
        <v>0.7</v>
      </c>
      <c r="H33" s="12">
        <f t="shared" si="0"/>
        <v>52.92</v>
      </c>
      <c r="I33" s="12">
        <v>0.58</v>
      </c>
      <c r="J33" s="12">
        <f t="shared" si="1"/>
        <v>9.74</v>
      </c>
    </row>
    <row r="34" spans="3:10">
      <c r="C34" s="11">
        <v>25933</v>
      </c>
      <c r="D34" s="11" t="s">
        <v>14</v>
      </c>
      <c r="E34" s="11">
        <v>6</v>
      </c>
      <c r="F34" s="12">
        <v>99.99</v>
      </c>
      <c r="G34" s="12">
        <v>19.99</v>
      </c>
      <c r="H34" s="12">
        <f t="shared" si="0"/>
        <v>599.94</v>
      </c>
      <c r="I34" s="12">
        <v>0.52</v>
      </c>
      <c r="J34" s="12">
        <f t="shared" si="1"/>
        <v>-16.87</v>
      </c>
    </row>
    <row r="35" spans="3:10">
      <c r="C35" s="11">
        <v>20697</v>
      </c>
      <c r="D35" s="11" t="s">
        <v>17</v>
      </c>
      <c r="E35" s="11">
        <v>6</v>
      </c>
      <c r="F35" s="12">
        <v>115.99</v>
      </c>
      <c r="G35" s="12">
        <v>2.5</v>
      </c>
      <c r="H35" s="12">
        <f t="shared" si="0"/>
        <v>695.94</v>
      </c>
      <c r="I35" s="12">
        <v>0.57</v>
      </c>
      <c r="J35" s="12">
        <f t="shared" si="1"/>
        <v>0.92</v>
      </c>
    </row>
    <row r="36" spans="3:10">
      <c r="C36" s="11">
        <v>20698</v>
      </c>
      <c r="D36" s="11" t="s">
        <v>17</v>
      </c>
      <c r="E36" s="11">
        <v>1</v>
      </c>
      <c r="F36" s="12">
        <v>3502.14</v>
      </c>
      <c r="G36" s="12">
        <v>8.73</v>
      </c>
      <c r="H36" s="12">
        <f t="shared" si="0"/>
        <v>3502.14</v>
      </c>
      <c r="I36" s="12">
        <v>0.57</v>
      </c>
      <c r="J36" s="12">
        <f t="shared" si="1"/>
        <v>-8.16</v>
      </c>
    </row>
    <row r="37" spans="3:10">
      <c r="C37" s="11">
        <v>22890</v>
      </c>
      <c r="D37" s="11" t="s">
        <v>14</v>
      </c>
      <c r="E37" s="11">
        <v>17</v>
      </c>
      <c r="F37" s="12">
        <v>175.99</v>
      </c>
      <c r="G37" s="12">
        <v>5.79</v>
      </c>
      <c r="H37" s="12">
        <f t="shared" si="0"/>
        <v>2991.83</v>
      </c>
      <c r="I37" s="12">
        <v>0.36</v>
      </c>
      <c r="J37" s="12">
        <f t="shared" si="1"/>
        <v>0.33</v>
      </c>
    </row>
    <row r="38" spans="3:10">
      <c r="C38" s="11">
        <v>25354</v>
      </c>
      <c r="D38" s="11" t="s">
        <v>14</v>
      </c>
      <c r="E38" s="11">
        <v>20</v>
      </c>
      <c r="F38" s="12">
        <v>155.06</v>
      </c>
      <c r="G38" s="12">
        <v>1.49</v>
      </c>
      <c r="H38" s="12">
        <f t="shared" si="0"/>
        <v>3101.2</v>
      </c>
      <c r="I38" s="12">
        <v>0.38</v>
      </c>
      <c r="J38" s="12">
        <f t="shared" si="1"/>
        <v>6.11</v>
      </c>
    </row>
    <row r="39" spans="3:10">
      <c r="C39" s="11">
        <v>21017</v>
      </c>
      <c r="D39" s="11" t="s">
        <v>15</v>
      </c>
      <c r="E39" s="11">
        <v>17</v>
      </c>
      <c r="F39" s="12">
        <v>5.98</v>
      </c>
      <c r="G39" s="12">
        <v>0.7</v>
      </c>
      <c r="H39" s="12">
        <f t="shared" si="0"/>
        <v>101.66</v>
      </c>
      <c r="I39" s="12">
        <v>0.56</v>
      </c>
      <c r="J39" s="12">
        <f t="shared" si="1"/>
        <v>8.82</v>
      </c>
    </row>
    <row r="40" spans="3:10">
      <c r="C40" s="11">
        <v>21019</v>
      </c>
      <c r="D40" s="11" t="s">
        <v>15</v>
      </c>
      <c r="E40" s="11">
        <v>3</v>
      </c>
      <c r="F40" s="12">
        <v>29.14</v>
      </c>
      <c r="G40" s="12">
        <v>5.15</v>
      </c>
      <c r="H40" s="12">
        <f t="shared" si="0"/>
        <v>87.42</v>
      </c>
      <c r="I40" s="12">
        <v>0.36</v>
      </c>
      <c r="J40" s="12">
        <f t="shared" si="1"/>
        <v>-4.07</v>
      </c>
    </row>
    <row r="41" spans="3:10">
      <c r="C41" s="11">
        <v>23274</v>
      </c>
      <c r="D41" s="11" t="s">
        <v>18</v>
      </c>
      <c r="E41" s="11">
        <v>17</v>
      </c>
      <c r="F41" s="12">
        <v>3.69</v>
      </c>
      <c r="G41" s="12">
        <v>4.86</v>
      </c>
      <c r="H41" s="12">
        <f t="shared" si="0"/>
        <v>62.73</v>
      </c>
      <c r="I41" s="12">
        <v>0.38</v>
      </c>
      <c r="J41" s="12">
        <f t="shared" si="1"/>
        <v>1.6</v>
      </c>
    </row>
  </sheetData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C3:D22"/>
  <sheetViews>
    <sheetView showGridLines="0" tabSelected="1" workbookViewId="0">
      <selection activeCell="D12" sqref="D12"/>
    </sheetView>
  </sheetViews>
  <sheetFormatPr defaultColWidth="9" defaultRowHeight="15" outlineLevelCol="3"/>
  <cols>
    <col min="3" max="3" width="23.552380952381" customWidth="1"/>
    <col min="4" max="4" width="36.1047619047619" customWidth="1"/>
  </cols>
  <sheetData>
    <row r="3" spans="3:3">
      <c r="C3" s="5" t="s">
        <v>19</v>
      </c>
    </row>
    <row r="4" spans="3:3">
      <c r="C4" s="5" t="s">
        <v>20</v>
      </c>
    </row>
    <row r="12" ht="21" spans="3:4">
      <c r="C12" s="6" t="s">
        <v>21</v>
      </c>
      <c r="D12" s="2"/>
    </row>
    <row r="13" ht="21" spans="3:4">
      <c r="C13" s="7"/>
      <c r="D13" s="7"/>
    </row>
    <row r="14" ht="21" spans="3:4">
      <c r="C14" s="6" t="s">
        <v>22</v>
      </c>
      <c r="D14" s="3"/>
    </row>
    <row r="15" ht="21" spans="3:4">
      <c r="C15" s="7"/>
      <c r="D15" s="7"/>
    </row>
    <row r="16" ht="21" spans="3:4">
      <c r="C16" s="6" t="s">
        <v>23</v>
      </c>
      <c r="D16" s="2"/>
    </row>
    <row r="17" ht="21" spans="3:4">
      <c r="C17" s="7"/>
      <c r="D17" s="7"/>
    </row>
    <row r="18" ht="21" spans="3:4">
      <c r="C18" s="6" t="s">
        <v>24</v>
      </c>
      <c r="D18" s="2"/>
    </row>
    <row r="19" ht="21" spans="3:4">
      <c r="C19" s="7"/>
      <c r="D19" s="7"/>
    </row>
    <row r="20" ht="21" spans="3:4">
      <c r="C20" s="6" t="s">
        <v>25</v>
      </c>
      <c r="D20" s="4"/>
    </row>
    <row r="21" ht="21" spans="3:4">
      <c r="C21" s="7"/>
      <c r="D21" s="7"/>
    </row>
    <row r="22" ht="21" spans="3:4">
      <c r="C22" s="6" t="s">
        <v>26</v>
      </c>
      <c r="D22" s="2"/>
    </row>
  </sheetData>
  <dataValidations count="2">
    <dataValidation type="whole" operator="between" allowBlank="1" showInputMessage="1" showErrorMessage="1" errorTitle="Enter 10 digits" error="Reenter the number" promptTitle="Mobile No/ WhatsApp No" prompt="Enter 10 digit Mobile no" sqref="D18">
      <formula1>1000000000</formula1>
      <formula2>9999999999</formula2>
    </dataValidation>
    <dataValidation type="list" allowBlank="1" showInputMessage="1" showErrorMessage="1" prompt="Choose the position in the list" sqref="D22">
      <formula1>"Trainee, Software Engineer, Sr. Software Engineer, Technical Lead, Sr. Technical Lead, Assistant Manager, Manager"</formula1>
    </dataValidation>
  </dataValidations>
  <pageMargins left="0.7" right="0.7" top="0.75" bottom="0.75" header="0.3" footer="0.3"/>
  <pageSetup paperSize="1" orientation="portrait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3"/>
  <sheetViews>
    <sheetView workbookViewId="0">
      <selection activeCell="C10" sqref="A1:F1 C10"/>
    </sheetView>
  </sheetViews>
  <sheetFormatPr defaultColWidth="9" defaultRowHeight="15" outlineLevelRow="2" outlineLevelCol="5"/>
  <cols>
    <col min="1" max="1" width="27.2190476190476" customWidth="1"/>
    <col min="2" max="2" width="23.1047619047619" customWidth="1"/>
    <col min="3" max="3" width="17.1047619047619" customWidth="1"/>
    <col min="4" max="4" width="18.8857142857143" customWidth="1"/>
    <col min="5" max="5" width="32.6666666666667" customWidth="1"/>
    <col min="6" max="6" width="27.4380952380952" customWidth="1"/>
  </cols>
  <sheetData>
    <row r="1" ht="21" spans="1:6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</row>
    <row r="2" ht="21" spans="1:6">
      <c r="A2" s="2" t="s">
        <v>27</v>
      </c>
      <c r="B2" s="3">
        <v>36526</v>
      </c>
      <c r="C2" s="2" t="s">
        <v>28</v>
      </c>
      <c r="D2" s="2">
        <v>2345678323</v>
      </c>
      <c r="E2" s="4" t="s">
        <v>29</v>
      </c>
      <c r="F2" s="2" t="s">
        <v>30</v>
      </c>
    </row>
    <row r="3" ht="21" spans="1:6">
      <c r="A3" s="2"/>
      <c r="B3" s="3"/>
      <c r="C3" s="2"/>
      <c r="D3" s="2"/>
      <c r="E3" s="4"/>
      <c r="F3" s="2"/>
    </row>
  </sheetData>
  <dataValidations count="2">
    <dataValidation type="whole" operator="between" allowBlank="1" errorTitle="Enter 10 digits" error="Reenter the number" promptTitle="Mobile No/ WhatsApp No" prompt="Enter 10 digit Mobile no" sqref="D$1:D$1048576">
      <formula1>1000000000</formula1>
      <formula2>9999999999</formula2>
    </dataValidation>
    <dataValidation allowBlank="1" sqref="F$1:F$1048576"/>
  </dataValidations>
  <hyperlinks>
    <hyperlink ref="E2" r:id="rId1" display="xyz@gmail.com"/>
  </hyperlinks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1</vt:lpstr>
      <vt:lpstr>Macro</vt:lpstr>
      <vt:lpstr>2</vt:lpstr>
      <vt:lpstr>NewJoineeDetails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Parth Batliwala</cp:lastModifiedBy>
  <dcterms:created xsi:type="dcterms:W3CDTF">2015-06-05T18:17:00Z</dcterms:created>
  <dcterms:modified xsi:type="dcterms:W3CDTF">2023-07-28T04:27:09Z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A58B78E841B443F2829E53D001A88FBB_12</vt:lpwstr>
  </property>
  <property fmtid="{D5CDD505-2E9C-101B-9397-08002B2CF9AE}" pid="3" name="KSOProductBuildVer">
    <vt:lpwstr>1033-12.2.0.13085</vt:lpwstr>
  </property>
</Properties>
</file>